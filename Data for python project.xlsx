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/>
  <mc:AlternateContent xmlns:mc="http://schemas.openxmlformats.org/markup-compatibility/2006">
    <mc:Choice Requires="x15">
      <x15ac:absPath xmlns:x15ac="http://schemas.microsoft.com/office/spreadsheetml/2010/11/ac" url="/Users/sachamace/PycharmProjects/PythonProject2/"/>
    </mc:Choice>
  </mc:AlternateContent>
  <xr:revisionPtr revIDLastSave="0" documentId="13_ncr:1_{DBB5B8BA-C95F-EA41-87B2-13D0D741E72D}" xr6:coauthVersionLast="47" xr6:coauthVersionMax="47" xr10:uidLastSave="{00000000-0000-0000-0000-000000000000}"/>
  <bookViews>
    <workbookView xWindow="0" yWindow="500" windowWidth="28800" windowHeight="15860" activeTab="2" xr2:uid="{00000000-000D-0000-FFFF-FFFF00000000}"/>
  </bookViews>
  <sheets>
    <sheet name="CDX_IG_Infos" sheetId="1" r:id="rId1"/>
    <sheet name="CDX_IG_Prices" sheetId="2" r:id="rId2"/>
    <sheet name="Libor 3M Curve" sheetId="3" r:id="rId3"/>
    <sheet name="US Yield Cur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<sst xmlns="http://schemas.openxmlformats.org/spreadsheetml/2006/main" count="134" uniqueCount="87">
  <si>
    <t>Name</t>
  </si>
  <si>
    <t>CDS Ticker</t>
  </si>
  <si>
    <t>Ref Bond Obligation</t>
  </si>
  <si>
    <t>S&amp;P</t>
  </si>
  <si>
    <t>Moody's</t>
  </si>
  <si>
    <t>Fitch</t>
  </si>
  <si>
    <t>Debt</t>
  </si>
  <si>
    <t>Debt Currency</t>
  </si>
  <si>
    <t>cur_mkt_cap</t>
  </si>
  <si>
    <t>ICB_Sector_Name</t>
  </si>
  <si>
    <t>GICS_Sector_Name</t>
  </si>
  <si>
    <t>21st Century Fox America Inc</t>
  </si>
  <si>
    <t>CNCP1U5 CBIN Curncy</t>
  </si>
  <si>
    <t>EK646536 @BVAL Corp</t>
  </si>
  <si>
    <t>BBB+</t>
  </si>
  <si>
    <t>Baa1</t>
  </si>
  <si>
    <t>A</t>
  </si>
  <si>
    <t>USD</t>
  </si>
  <si>
    <t>Media</t>
  </si>
  <si>
    <t>Communication Services</t>
  </si>
  <si>
    <t>Allstate Corp/The</t>
  </si>
  <si>
    <t>CALL1U5 CBIN Curncy</t>
  </si>
  <si>
    <t>EJ707063 @BVAL Corp</t>
  </si>
  <si>
    <t>A-</t>
  </si>
  <si>
    <t>A3</t>
  </si>
  <si>
    <t>Nonlife Insurance</t>
  </si>
  <si>
    <t>Financials</t>
  </si>
  <si>
    <t>Apache Corp</t>
  </si>
  <si>
    <t>CAPA1U5 CBIN Curncy</t>
  </si>
  <si>
    <t>EJ120557 @BVAL Corp</t>
  </si>
  <si>
    <t>BBB</t>
  </si>
  <si>
    <t>Baa3</t>
  </si>
  <si>
    <t>Oil &amp; Gas Producers</t>
  </si>
  <si>
    <t>Energy</t>
  </si>
  <si>
    <t>AT&amp;T Inc</t>
  </si>
  <si>
    <t>CSBC1U5 CBIN Curncy</t>
  </si>
  <si>
    <t>EK879267 @BVAL Corp</t>
  </si>
  <si>
    <t>Baa2</t>
  </si>
  <si>
    <t>Fixed Line Telecommunications</t>
  </si>
  <si>
    <t>Block Financial LLC</t>
  </si>
  <si>
    <t>CHRB1U5 CBIN Curncy</t>
  </si>
  <si>
    <t>EJ415778 @BVAL Corp</t>
  </si>
  <si>
    <t>#N/A N/A</t>
  </si>
  <si>
    <t>WD</t>
  </si>
  <si>
    <t>General Retailers</t>
  </si>
  <si>
    <t>Consumer Discretionary</t>
  </si>
  <si>
    <t>Carnival Corp</t>
  </si>
  <si>
    <t>CCCL1U5 CBIN Curncy</t>
  </si>
  <si>
    <t>DD115155 @BVAL Corp</t>
  </si>
  <si>
    <t>NR</t>
  </si>
  <si>
    <t>Travel &amp; Leisure</t>
  </si>
  <si>
    <t>Comcast Corp</t>
  </si>
  <si>
    <t>CT363688 CBIN Curncy</t>
  </si>
  <si>
    <t>EH868035 @BVAL Corp</t>
  </si>
  <si>
    <t>HP Inc</t>
  </si>
  <si>
    <t>CHWP1U5 CBIN Curncy</t>
  </si>
  <si>
    <t>EI901233 @BVAL Corp</t>
  </si>
  <si>
    <t>Technology Hardware &amp; Equipment</t>
  </si>
  <si>
    <t>Information Technology</t>
  </si>
  <si>
    <t>MetLife Inc</t>
  </si>
  <si>
    <t>CMET1U5 CBIN Curncy</t>
  </si>
  <si>
    <t>EI344047 @BVAL Corp</t>
  </si>
  <si>
    <t>Life Insurance</t>
  </si>
  <si>
    <t>Xerox Corp</t>
  </si>
  <si>
    <t>CXRX1U5 CBIN Curncy</t>
  </si>
  <si>
    <t>EK775865 @BVAL Corp</t>
  </si>
  <si>
    <t>BB+</t>
  </si>
  <si>
    <t>Ba1</t>
  </si>
  <si>
    <t>Support Services</t>
  </si>
  <si>
    <t>PX_ASK</t>
  </si>
  <si>
    <t>PX_MID</t>
  </si>
  <si>
    <t>PX_BID</t>
  </si>
  <si>
    <t>Price Eqty Ticker</t>
  </si>
  <si>
    <t>Eqty Price</t>
  </si>
  <si>
    <t>FOXA US Equity</t>
  </si>
  <si>
    <t>ALL US Equity</t>
  </si>
  <si>
    <t>APA US Equity</t>
  </si>
  <si>
    <t>T US Equity</t>
  </si>
  <si>
    <t>HRB US Equity</t>
  </si>
  <si>
    <t>CCL US Equity</t>
  </si>
  <si>
    <t>CMCSA US Equity</t>
  </si>
  <si>
    <t>HPQ US Equity</t>
  </si>
  <si>
    <t>MET US Equity</t>
  </si>
  <si>
    <t>XRX US Equity</t>
  </si>
  <si>
    <t>Maturity</t>
  </si>
  <si>
    <t>Rate</t>
  </si>
  <si>
    <t>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</si>
</sst>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4" fontId="2" fillId="3" borderId="1" xfId="0" applyNumberFormat="1" applyFont="1" applyFill="1" applyBorder="1"/>
    <xf numFmtId="10" fontId="2" fillId="3" borderId="1" xfId="0" applyNumberFormat="1" applyFont="1" applyFill="1" applyBorder="1"/>
    <xf numFmtId="11" fontId="2" fillId="3" borderId="1" xfId="0" applyNumberFormat="1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32356</xdr:colOff>
      <xdr:row>0</xdr:row>
      <xdr:rowOff>0</xdr:rowOff>
    </xdr:from>
    <xdr:to>
      <xdr:col>11</xdr:col>
      <xdr:colOff>604746</xdr:colOff>
      <xdr:row>28</xdr:row>
      <xdr:rowOff>152076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02F6B33-A994-D843-81CF-224DE36A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6560" y="0"/>
          <a:ext cx="5943600" cy="5588000"/>
        </a:xfrm>
        <a:prstGeom prst="rect">
          <a:avLst/>
        </a:prstGeom>
      </xdr:spPr>
    </xdr:pic>
    <xdr:clientData/>
  </xdr:twoCellAnchor>
  <xdr:twoCellAnchor editAs="oneCell">
    <xdr:from>
      <xdr:col>6</xdr:col>
      <xdr:colOff>647134</xdr:colOff>
      <xdr:row>1</xdr:row>
      <xdr:rowOff>8089</xdr:rowOff>
    </xdr:from>
    <xdr:to>
      <xdr:col>17</xdr:col>
      <xdr:colOff>56220</xdr:colOff>
      <xdr:row>19</xdr:row>
      <xdr:rowOff>133067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B53A957-A4A1-0547-8EA9-2545D5001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5542" y="202229"/>
          <a:ext cx="6794500" cy="361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>
      <selection activeCell="J22" sqref="J22"/>
    </sheetView>
  </sheetViews>
  <sheetFormatPr baseColWidth="10" defaultColWidth="8.83203125" defaultRowHeight="15" x14ac:dyDescent="0.2"/>
  <cols>
    <col min="7" max="7" width="18.5" bestFit="1" customWidth="1"/>
    <col min="9" max="9" width="18.5" bestFit="1" customWidth="1"/>
    <col min="10" max="10" width="32.83203125" bestFit="1" customWidth="1"/>
    <col min="11" max="11" width="23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</row>
    <row r="2" spans="1:17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18128720000</v>
      </c>
      <c r="H2" s="2" t="s">
        <v>17</v>
      </c>
      <c r="I2" s="3">
        <v>93345412665.860001</v>
      </c>
      <c r="J2" s="2" t="s">
        <v>18</v>
      </c>
      <c r="K2" s="2" t="s">
        <v>19</v>
      </c>
      <c r="L2" s="2" t="s">
        <v>12</v>
      </c>
      <c r="M2" s="2">
        <v>32.218000000000004</v>
      </c>
      <c r="N2" s="2">
        <v>29.797450000000001</v>
      </c>
      <c r="O2" s="2">
        <v>27.37689</v>
      </c>
      <c r="P2" s="2" t="s">
        <v>74</v>
      </c>
      <c r="Q2" s="2">
        <v>50.44</v>
      </c>
    </row>
    <row r="3" spans="1:17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23</v>
      </c>
      <c r="G3" s="3">
        <v>6047746000</v>
      </c>
      <c r="H3" s="2" t="s">
        <v>17</v>
      </c>
      <c r="I3" s="3">
        <v>31251006610.560001</v>
      </c>
      <c r="J3" s="2" t="s">
        <v>25</v>
      </c>
      <c r="K3" s="2" t="s">
        <v>26</v>
      </c>
      <c r="L3" s="2" t="s">
        <v>21</v>
      </c>
      <c r="M3" s="2">
        <v>32.101849999999999</v>
      </c>
      <c r="N3" s="2">
        <v>29.412970000000001</v>
      </c>
      <c r="O3" s="2">
        <v>26.724080000000001</v>
      </c>
      <c r="P3" s="2" t="s">
        <v>75</v>
      </c>
      <c r="Q3" s="2">
        <v>94.07</v>
      </c>
    </row>
    <row r="4" spans="1:17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30</v>
      </c>
      <c r="G4" s="3">
        <v>8298560000</v>
      </c>
      <c r="H4" s="2" t="s">
        <v>17</v>
      </c>
      <c r="I4" s="3">
        <v>12547712804.52</v>
      </c>
      <c r="J4" s="2" t="s">
        <v>32</v>
      </c>
      <c r="K4" s="2" t="s">
        <v>33</v>
      </c>
      <c r="L4" s="2" t="s">
        <v>28</v>
      </c>
      <c r="M4" s="2">
        <v>132.82650000000001</v>
      </c>
      <c r="N4" s="2">
        <v>127.8265</v>
      </c>
      <c r="O4" s="2">
        <v>122.8265</v>
      </c>
      <c r="P4" s="2" t="s">
        <v>76</v>
      </c>
      <c r="Q4" s="2">
        <v>33</v>
      </c>
    </row>
    <row r="5" spans="1:17" x14ac:dyDescent="0.2">
      <c r="A5" s="2" t="s">
        <v>34</v>
      </c>
      <c r="B5" s="2" t="s">
        <v>35</v>
      </c>
      <c r="C5" s="2" t="s">
        <v>36</v>
      </c>
      <c r="D5" s="2" t="s">
        <v>30</v>
      </c>
      <c r="E5" s="2" t="s">
        <v>37</v>
      </c>
      <c r="F5" s="2" t="s">
        <v>23</v>
      </c>
      <c r="G5" s="3">
        <v>182143278375</v>
      </c>
      <c r="H5" s="2" t="s">
        <v>17</v>
      </c>
      <c r="I5" s="3">
        <v>221630582800</v>
      </c>
      <c r="J5" s="2" t="s">
        <v>38</v>
      </c>
      <c r="K5" s="2" t="s">
        <v>19</v>
      </c>
      <c r="L5" s="2" t="s">
        <v>35</v>
      </c>
      <c r="M5" s="2">
        <v>98.187370000000001</v>
      </c>
      <c r="N5" s="2">
        <v>95.548180000000002</v>
      </c>
      <c r="O5" s="2">
        <v>92.909000000000006</v>
      </c>
      <c r="P5" s="2" t="s">
        <v>77</v>
      </c>
      <c r="Q5" s="2">
        <v>30.419</v>
      </c>
    </row>
    <row r="6" spans="1:17" x14ac:dyDescent="0.2">
      <c r="A6" s="2" t="s">
        <v>39</v>
      </c>
      <c r="B6" s="2" t="s">
        <v>40</v>
      </c>
      <c r="C6" s="2" t="s">
        <v>41</v>
      </c>
      <c r="D6" s="2" t="s">
        <v>42</v>
      </c>
      <c r="E6" s="2" t="s">
        <v>31</v>
      </c>
      <c r="F6" s="2" t="s">
        <v>43</v>
      </c>
      <c r="G6" s="3">
        <v>1500000000</v>
      </c>
      <c r="H6" s="2" t="s">
        <v>17</v>
      </c>
      <c r="I6" s="3">
        <v>4953220341.5</v>
      </c>
      <c r="J6" s="2" t="s">
        <v>44</v>
      </c>
      <c r="K6" s="2" t="s">
        <v>45</v>
      </c>
      <c r="L6" s="2" t="s">
        <v>40</v>
      </c>
      <c r="M6" s="2">
        <v>108.3073</v>
      </c>
      <c r="N6" s="2">
        <v>102.57989999999999</v>
      </c>
      <c r="O6" s="2">
        <v>96.852620000000002</v>
      </c>
      <c r="P6" s="2" t="s">
        <v>78</v>
      </c>
      <c r="Q6" s="2">
        <v>24.07</v>
      </c>
    </row>
    <row r="7" spans="1:17" x14ac:dyDescent="0.2">
      <c r="A7" s="2" t="s">
        <v>46</v>
      </c>
      <c r="B7" s="2" t="s">
        <v>47</v>
      </c>
      <c r="C7" s="2" t="s">
        <v>48</v>
      </c>
      <c r="D7" s="2" t="s">
        <v>23</v>
      </c>
      <c r="E7" s="2" t="s">
        <v>24</v>
      </c>
      <c r="F7" s="2" t="s">
        <v>49</v>
      </c>
      <c r="G7" s="3">
        <v>5244561256</v>
      </c>
      <c r="H7" s="2" t="s">
        <v>17</v>
      </c>
      <c r="I7" s="3">
        <v>40058438957.18</v>
      </c>
      <c r="J7" s="2" t="s">
        <v>50</v>
      </c>
      <c r="K7" s="2" t="s">
        <v>45</v>
      </c>
      <c r="L7" s="2" t="s">
        <v>47</v>
      </c>
      <c r="M7" s="2">
        <v>51.71049</v>
      </c>
      <c r="N7" s="2">
        <v>49.208010000000002</v>
      </c>
      <c r="O7" s="2">
        <v>46.705530000000003</v>
      </c>
      <c r="P7" s="2" t="s">
        <v>79</v>
      </c>
      <c r="Q7" s="2">
        <v>58.24</v>
      </c>
    </row>
    <row r="8" spans="1:17" x14ac:dyDescent="0.2">
      <c r="A8" s="2" t="s">
        <v>51</v>
      </c>
      <c r="B8" s="2" t="s">
        <v>52</v>
      </c>
      <c r="C8" s="2" t="s">
        <v>53</v>
      </c>
      <c r="D8" s="2" t="s">
        <v>23</v>
      </c>
      <c r="E8" s="2" t="s">
        <v>24</v>
      </c>
      <c r="F8" s="2" t="s">
        <v>23</v>
      </c>
      <c r="G8" s="3">
        <v>112591379418</v>
      </c>
      <c r="H8" s="2" t="s">
        <v>17</v>
      </c>
      <c r="I8" s="3">
        <v>171365613779.42999</v>
      </c>
      <c r="J8" s="2" t="s">
        <v>18</v>
      </c>
      <c r="K8" s="2" t="s">
        <v>19</v>
      </c>
      <c r="L8" s="2" t="s">
        <v>52</v>
      </c>
      <c r="M8" s="2">
        <v>46.483089999999997</v>
      </c>
      <c r="N8" s="2">
        <v>43.894840000000002</v>
      </c>
      <c r="O8" s="2">
        <v>41.306579999999997</v>
      </c>
      <c r="P8" s="2" t="s">
        <v>80</v>
      </c>
      <c r="Q8" s="2">
        <v>37.822600000000001</v>
      </c>
    </row>
    <row r="9" spans="1:17" x14ac:dyDescent="0.2">
      <c r="A9" s="2" t="s">
        <v>54</v>
      </c>
      <c r="B9" s="2" t="s">
        <v>55</v>
      </c>
      <c r="C9" s="2" t="s">
        <v>56</v>
      </c>
      <c r="D9" s="2" t="s">
        <v>30</v>
      </c>
      <c r="E9" s="2" t="s">
        <v>37</v>
      </c>
      <c r="F9" s="2" t="s">
        <v>14</v>
      </c>
      <c r="G9" s="3">
        <v>4259234000</v>
      </c>
      <c r="H9" s="2" t="s">
        <v>17</v>
      </c>
      <c r="I9" s="3">
        <v>36103212342.68</v>
      </c>
      <c r="J9" s="2" t="s">
        <v>57</v>
      </c>
      <c r="K9" s="2" t="s">
        <v>58</v>
      </c>
      <c r="L9" s="2" t="s">
        <v>55</v>
      </c>
      <c r="M9" s="2">
        <v>53.442929999999997</v>
      </c>
      <c r="N9" s="2">
        <v>50.863129999999998</v>
      </c>
      <c r="O9" s="2">
        <v>48.283320000000003</v>
      </c>
      <c r="P9" s="2" t="s">
        <v>81</v>
      </c>
      <c r="Q9" s="2">
        <v>23.23</v>
      </c>
    </row>
    <row r="10" spans="1:17" x14ac:dyDescent="0.2">
      <c r="A10" s="2" t="s">
        <v>59</v>
      </c>
      <c r="B10" s="2" t="s">
        <v>60</v>
      </c>
      <c r="C10" s="2" t="s">
        <v>61</v>
      </c>
      <c r="D10" s="2" t="s">
        <v>23</v>
      </c>
      <c r="E10" s="2" t="s">
        <v>24</v>
      </c>
      <c r="F10" s="2" t="s">
        <v>16</v>
      </c>
      <c r="G10" s="3">
        <v>46251329496</v>
      </c>
      <c r="H10" s="2" t="s">
        <v>17</v>
      </c>
      <c r="I10" s="3">
        <v>42845010440</v>
      </c>
      <c r="J10" s="2" t="s">
        <v>62</v>
      </c>
      <c r="K10" s="2" t="s">
        <v>26</v>
      </c>
      <c r="L10" s="2" t="s">
        <v>60</v>
      </c>
      <c r="M10" s="2">
        <v>72.109189999999998</v>
      </c>
      <c r="N10" s="2">
        <v>69.578599999999994</v>
      </c>
      <c r="O10" s="2">
        <v>67.048000000000002</v>
      </c>
      <c r="P10" s="2" t="s">
        <v>82</v>
      </c>
      <c r="Q10" s="2">
        <v>44.704999999999998</v>
      </c>
    </row>
    <row r="11" spans="1:17" x14ac:dyDescent="0.2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66</v>
      </c>
      <c r="G11" s="3">
        <v>5272445000</v>
      </c>
      <c r="H11" s="2" t="s">
        <v>17</v>
      </c>
      <c r="I11" s="3">
        <v>7031056260</v>
      </c>
      <c r="J11" s="2" t="s">
        <v>68</v>
      </c>
      <c r="K11" s="2" t="s">
        <v>58</v>
      </c>
      <c r="L11" s="2" t="s">
        <v>64</v>
      </c>
      <c r="M11" s="2">
        <v>220.357</v>
      </c>
      <c r="N11" s="2">
        <v>210.94300000000001</v>
      </c>
      <c r="O11" s="2">
        <v>201.529</v>
      </c>
      <c r="P11" s="2" t="s">
        <v>83</v>
      </c>
      <c r="Q11" s="2">
        <v>30.59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84222-645F-4DF4-80F0-8374F4CDA60E}">
  <dimension ref="A1:K9"/>
  <sheetViews>
    <sheetView zoomScale="135" workbookViewId="0">
      <selection activeCell="B11" sqref="B11"/>
    </sheetView>
  </sheetViews>
  <sheetFormatPr baseColWidth="10" defaultColWidth="8.83203125" defaultRowHeight="15" x14ac:dyDescent="0.2"/>
  <sheetData>
    <row r="1" spans="1:11" x14ac:dyDescent="0.2">
      <c r="A1" t="s">
        <v>84</v>
      </c>
      <c r="B1" s="18" t="str" cm="1">
        <f t="array" ref="B1:K1">TRANSPOSE(CDX_IG_Infos!A2:A11)</f>
        <v>21st Century Fox America Inc</v>
      </c>
      <c r="C1" s="19" t="str">
        <v>Allstate Corp/The</v>
      </c>
      <c r="D1" s="19" t="str">
        <v>Apache Corp</v>
      </c>
      <c r="E1" s="19" t="str">
        <v>AT&amp;T Inc</v>
      </c>
      <c r="F1" s="19" t="str">
        <v>Block Financial LLC</v>
      </c>
      <c r="G1" s="19" t="str">
        <v>Carnival Corp</v>
      </c>
      <c r="H1" s="19" t="str">
        <v>Comcast Corp</v>
      </c>
      <c r="I1" s="19" t="str">
        <v>HP Inc</v>
      </c>
      <c r="J1" s="19" t="str">
        <v>MetLife Inc</v>
      </c>
      <c r="K1" s="20" t="str">
        <v>Xerox Corp</v>
      </c>
    </row>
    <row r="2" spans="1:11" x14ac:dyDescent="0.2">
      <c r="A2" s="6">
        <v>0.5</v>
      </c>
      <c r="B2" s="9">
        <v>3.2</v>
      </c>
      <c r="C2" s="10">
        <v>8.6999999999999993</v>
      </c>
      <c r="D2" s="10">
        <v>9.6999999999999993</v>
      </c>
      <c r="E2" s="10">
        <v>5</v>
      </c>
      <c r="F2" s="10">
        <v>8.6</v>
      </c>
      <c r="G2" s="10">
        <v>9.1999999999999993</v>
      </c>
      <c r="H2" s="10">
        <v>4.5</v>
      </c>
      <c r="I2" s="10">
        <v>6.1</v>
      </c>
      <c r="J2" s="10">
        <v>6.9</v>
      </c>
      <c r="K2" s="11">
        <v>24.7</v>
      </c>
    </row>
    <row r="3" spans="1:11" x14ac:dyDescent="0.2">
      <c r="A3" s="7">
        <v>1</v>
      </c>
      <c r="B3" s="12">
        <v>5.3</v>
      </c>
      <c r="C3" s="13">
        <v>13</v>
      </c>
      <c r="D3" s="13">
        <v>15.9</v>
      </c>
      <c r="E3" s="13">
        <v>6.7</v>
      </c>
      <c r="F3" s="13">
        <v>13.1</v>
      </c>
      <c r="G3" s="13">
        <v>10.3</v>
      </c>
      <c r="H3" s="13">
        <v>8.8000000000000007</v>
      </c>
      <c r="I3" s="13">
        <v>9.4</v>
      </c>
      <c r="J3" s="13">
        <v>10.9</v>
      </c>
      <c r="K3" s="14">
        <v>32.1</v>
      </c>
    </row>
    <row r="4" spans="1:11" x14ac:dyDescent="0.2">
      <c r="A4" s="7">
        <v>2</v>
      </c>
      <c r="B4" s="12">
        <v>9.3000000000000007</v>
      </c>
      <c r="C4" s="13">
        <v>22</v>
      </c>
      <c r="D4" s="13">
        <v>24</v>
      </c>
      <c r="E4" s="13">
        <v>9.8000000000000007</v>
      </c>
      <c r="F4" s="13">
        <v>22</v>
      </c>
      <c r="G4" s="13">
        <v>18</v>
      </c>
      <c r="H4" s="13">
        <v>16</v>
      </c>
      <c r="I4" s="13">
        <v>18</v>
      </c>
      <c r="J4" s="13">
        <v>22</v>
      </c>
      <c r="K4" s="14">
        <v>53</v>
      </c>
    </row>
    <row r="5" spans="1:11" x14ac:dyDescent="0.2">
      <c r="A5" s="7">
        <v>3</v>
      </c>
      <c r="B5" s="12">
        <v>14.5</v>
      </c>
      <c r="C5" s="13">
        <v>43.7</v>
      </c>
      <c r="D5" s="13">
        <v>33.6</v>
      </c>
      <c r="E5" s="13">
        <v>15.2</v>
      </c>
      <c r="F5" s="13">
        <v>44.6</v>
      </c>
      <c r="G5" s="13">
        <v>26.5</v>
      </c>
      <c r="H5" s="13">
        <v>22.6</v>
      </c>
      <c r="I5" s="13">
        <v>30.8</v>
      </c>
      <c r="J5" s="13">
        <v>34.5</v>
      </c>
      <c r="K5" s="14">
        <v>89.5</v>
      </c>
    </row>
    <row r="6" spans="1:11" x14ac:dyDescent="0.2">
      <c r="A6" s="7">
        <v>4</v>
      </c>
      <c r="B6" s="12">
        <v>19.7</v>
      </c>
      <c r="C6" s="13">
        <v>69.900000000000006</v>
      </c>
      <c r="D6" s="13">
        <v>44</v>
      </c>
      <c r="E6" s="13">
        <v>20</v>
      </c>
      <c r="F6" s="13">
        <v>69.8</v>
      </c>
      <c r="G6" s="13">
        <v>38.4</v>
      </c>
      <c r="H6" s="13">
        <v>32.5</v>
      </c>
      <c r="I6" s="13">
        <v>44.7</v>
      </c>
      <c r="J6" s="13">
        <v>49.3</v>
      </c>
      <c r="K6" s="14">
        <v>128.30000000000001</v>
      </c>
    </row>
    <row r="7" spans="1:11" x14ac:dyDescent="0.2">
      <c r="A7" s="7">
        <v>5</v>
      </c>
      <c r="B7" s="12">
        <v>30.4</v>
      </c>
      <c r="C7" s="13">
        <v>109</v>
      </c>
      <c r="D7" s="13">
        <v>54</v>
      </c>
      <c r="E7" s="13">
        <v>27.5</v>
      </c>
      <c r="F7" s="13">
        <v>106</v>
      </c>
      <c r="G7" s="13">
        <v>49</v>
      </c>
      <c r="H7" s="13">
        <v>46.3</v>
      </c>
      <c r="I7" s="13">
        <v>65.5</v>
      </c>
      <c r="J7" s="13">
        <v>66.3</v>
      </c>
      <c r="K7" s="14">
        <v>221</v>
      </c>
    </row>
    <row r="8" spans="1:11" x14ac:dyDescent="0.2">
      <c r="A8" s="7">
        <v>7</v>
      </c>
      <c r="B8" s="12">
        <v>38.200000000000003</v>
      </c>
      <c r="C8" s="13">
        <v>141.69999999999999</v>
      </c>
      <c r="D8" s="13">
        <v>72.5</v>
      </c>
      <c r="E8" s="13">
        <v>39.4</v>
      </c>
      <c r="F8" s="13">
        <v>140.1</v>
      </c>
      <c r="G8" s="13">
        <v>77.099999999999994</v>
      </c>
      <c r="H8" s="13">
        <v>68</v>
      </c>
      <c r="I8" s="13">
        <v>87.8</v>
      </c>
      <c r="J8" s="13">
        <v>100.3</v>
      </c>
      <c r="K8" s="14">
        <v>307.89999999999998</v>
      </c>
    </row>
    <row r="9" spans="1:11" x14ac:dyDescent="0.2">
      <c r="A9" s="8">
        <v>10</v>
      </c>
      <c r="B9" s="15">
        <v>45.1</v>
      </c>
      <c r="C9" s="16">
        <v>170.3</v>
      </c>
      <c r="D9" s="16">
        <v>87.9</v>
      </c>
      <c r="E9" s="16">
        <v>48.7</v>
      </c>
      <c r="F9" s="16">
        <v>158.9</v>
      </c>
      <c r="G9" s="16">
        <v>90.9</v>
      </c>
      <c r="H9" s="16">
        <v>82.7</v>
      </c>
      <c r="I9" s="16">
        <v>108.5</v>
      </c>
      <c r="J9" s="16">
        <v>119.1</v>
      </c>
      <c r="K9" s="17">
        <v>343.6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14D4-5AE4-431A-A3E2-988F96438FF6}">
  <dimension ref="A1:B50"/>
  <sheetViews>
    <sheetView tabSelected="1" zoomScale="157" workbookViewId="0">
      <selection activeCell="C6" sqref="C6"/>
    </sheetView>
  </sheetViews>
  <sheetFormatPr baseColWidth="10" defaultColWidth="8.83203125" defaultRowHeight="15" x14ac:dyDescent="0.2"/>
  <sheetData>
    <row r="1" spans="1:2" x14ac:dyDescent="0.2">
      <c r="A1" s="1" t="s">
        <v>84</v>
      </c>
      <c r="B1" s="1" t="s">
        <v>85</v>
      </c>
    </row>
    <row r="2" spans="1:2" x14ac:dyDescent="0.2">
      <c r="A2" s="2">
        <v>0.25</v>
      </c>
      <c r="B2" s="4">
        <v>2.103E-2</v>
      </c>
    </row>
    <row r="3" spans="1:2" x14ac:dyDescent="0.2">
      <c r="A3" s="2">
        <v>0.5</v>
      </c>
      <c r="B3" s="4">
        <v>2.4580000000000001E-2</v>
      </c>
    </row>
    <row r="4" spans="1:2" x14ac:dyDescent="0.2">
      <c r="A4" s="2">
        <v>1</v>
      </c>
      <c r="B4" s="4">
        <v>2.3900000000000001E-2</v>
      </c>
    </row>
    <row r="5" spans="1:2" x14ac:dyDescent="0.2">
      <c r="A5" s="2">
        <v>1.25</v>
      </c>
      <c r="B5" s="4">
        <v>2.3099999999999999E-2</v>
      </c>
    </row>
    <row r="6" spans="1:2" x14ac:dyDescent="0.2">
      <c r="A6" s="2">
        <v>1.5</v>
      </c>
      <c r="B6" s="4">
        <v>2.24E-2</v>
      </c>
    </row>
    <row r="7" spans="1:2" x14ac:dyDescent="0.2">
      <c r="A7" s="2">
        <v>2</v>
      </c>
      <c r="B7" s="4">
        <v>2.8400000000000002E-2</v>
      </c>
    </row>
    <row r="8" spans="1:2" x14ac:dyDescent="0.2">
      <c r="A8" s="2">
        <v>3</v>
      </c>
      <c r="B8" s="4">
        <v>2.93E-2</v>
      </c>
    </row>
    <row r="9" spans="1:2" x14ac:dyDescent="0.2">
      <c r="A9" s="2">
        <v>4</v>
      </c>
      <c r="B9" s="4">
        <v>3.0300000000000001E-2</v>
      </c>
    </row>
    <row r="10" spans="1:2" x14ac:dyDescent="0.2">
      <c r="A10" s="2">
        <v>5</v>
      </c>
      <c r="B10" s="4">
        <v>3.15E-2</v>
      </c>
    </row>
    <row r="11" spans="1:2" x14ac:dyDescent="0.2">
      <c r="A11" s="2">
        <v>6</v>
      </c>
      <c r="B11" s="4">
        <v>3.2899999999999999E-2</v>
      </c>
    </row>
    <row r="12" spans="1:2" x14ac:dyDescent="0.2">
      <c r="A12" s="2">
        <v>7</v>
      </c>
      <c r="B12" s="4">
        <v>3.4099999999999998E-2</v>
      </c>
    </row>
    <row r="13" spans="1:2" x14ac:dyDescent="0.2">
      <c r="A13" s="2">
        <v>8</v>
      </c>
      <c r="B13" s="4">
        <v>3.5499999999999997E-2</v>
      </c>
    </row>
    <row r="14" spans="1:2" x14ac:dyDescent="0.2">
      <c r="A14" s="2">
        <v>10</v>
      </c>
      <c r="B14" s="4">
        <v>3.7699999999999997E-2</v>
      </c>
    </row>
    <row r="15" spans="1:2" x14ac:dyDescent="0.2">
      <c r="A15" s="2">
        <v>12</v>
      </c>
      <c r="B15" s="4">
        <v>3.9399999999999998E-2</v>
      </c>
    </row>
    <row r="16" spans="1:2" x14ac:dyDescent="0.2">
      <c r="A16" s="2">
        <v>15</v>
      </c>
      <c r="B16" s="4">
        <v>4.0800000000000003E-2</v>
      </c>
    </row>
    <row r="17" spans="1:2" x14ac:dyDescent="0.2">
      <c r="A17" s="2">
        <v>20</v>
      </c>
      <c r="B17" s="4">
        <v>4.24E-2</v>
      </c>
    </row>
    <row r="18" spans="1:2" x14ac:dyDescent="0.2">
      <c r="A18" s="2">
        <v>30</v>
      </c>
      <c r="B18" s="4">
        <v>4.6699999999999998E-2</v>
      </c>
    </row>
    <row r="19" spans="1:2" x14ac:dyDescent="0.2">
      <c r="A19" s="2">
        <v>50</v>
      </c>
      <c r="B19" s="4">
        <v>0.04</v>
      </c>
    </row>
    <row r="27" spans="1:2" x14ac:dyDescent="0.2">
      <c r="A27" s="1" t="s">
        <v>84</v>
      </c>
      <c r="B27" s="1" t="s">
        <v>85</v>
      </c>
    </row>
    <row r="28" spans="1:2" x14ac:dyDescent="0.2">
      <c r="A28" s="2">
        <v>0.25</v>
      </c>
      <c r="B28" s="4">
        <v>2.5899999999999999E-2</v>
      </c>
    </row>
    <row r="29" spans="1:2" x14ac:dyDescent="0.2">
      <c r="A29" s="2">
        <v>0.5</v>
      </c>
      <c r="B29" s="4">
        <v>2.5100000000000001E-2</v>
      </c>
    </row>
    <row r="30" spans="1:2" x14ac:dyDescent="0.2">
      <c r="A30" s="2">
        <v>0.75</v>
      </c>
      <c r="B30" s="4">
        <v>2.4899999999999999E-2</v>
      </c>
    </row>
    <row r="31" spans="1:2" x14ac:dyDescent="0.2">
      <c r="A31" s="2">
        <v>1</v>
      </c>
      <c r="B31" s="4">
        <v>2.3900000000000001E-2</v>
      </c>
    </row>
    <row r="32" spans="1:2" x14ac:dyDescent="0.2">
      <c r="A32" s="2">
        <v>1.25</v>
      </c>
      <c r="B32" s="4">
        <v>2.3099999999999999E-2</v>
      </c>
    </row>
    <row r="33" spans="1:2" x14ac:dyDescent="0.2">
      <c r="A33" s="2">
        <v>1.5</v>
      </c>
      <c r="B33" s="4">
        <v>2.24E-2</v>
      </c>
    </row>
    <row r="34" spans="1:2" x14ac:dyDescent="0.2">
      <c r="A34" s="2">
        <v>2</v>
      </c>
      <c r="B34" s="4">
        <v>2.4500000000000001E-2</v>
      </c>
    </row>
    <row r="35" spans="1:2" x14ac:dyDescent="0.2">
      <c r="A35" s="2">
        <v>3</v>
      </c>
      <c r="B35" s="4">
        <v>2.3800000000000002E-2</v>
      </c>
    </row>
    <row r="36" spans="1:2" x14ac:dyDescent="0.2">
      <c r="A36" s="2">
        <v>4</v>
      </c>
      <c r="B36" s="4">
        <v>2.35E-2</v>
      </c>
    </row>
    <row r="37" spans="1:2" x14ac:dyDescent="0.2">
      <c r="A37" s="2">
        <v>5</v>
      </c>
      <c r="B37" s="4">
        <v>2.3599999999999999E-2</v>
      </c>
    </row>
    <row r="38" spans="1:2" x14ac:dyDescent="0.2">
      <c r="A38" s="2">
        <v>6</v>
      </c>
      <c r="B38" s="4">
        <v>2.3800000000000002E-2</v>
      </c>
    </row>
    <row r="39" spans="1:2" x14ac:dyDescent="0.2">
      <c r="A39" s="2">
        <v>7</v>
      </c>
      <c r="B39" s="4">
        <v>2.4E-2</v>
      </c>
    </row>
    <row r="40" spans="1:2" x14ac:dyDescent="0.2">
      <c r="A40" s="2">
        <v>8</v>
      </c>
      <c r="B40" s="4">
        <v>2.4299999999999999E-2</v>
      </c>
    </row>
    <row r="41" spans="1:2" x14ac:dyDescent="0.2">
      <c r="A41" s="2">
        <v>9</v>
      </c>
      <c r="B41" s="4">
        <v>2.46E-2</v>
      </c>
    </row>
    <row r="42" spans="1:2" x14ac:dyDescent="0.2">
      <c r="A42" s="2">
        <v>10</v>
      </c>
      <c r="B42" s="4">
        <v>2.4899999999999999E-2</v>
      </c>
    </row>
    <row r="43" spans="1:2" x14ac:dyDescent="0.2">
      <c r="A43" s="2">
        <v>11</v>
      </c>
      <c r="B43" s="4">
        <v>2.52E-2</v>
      </c>
    </row>
    <row r="44" spans="1:2" x14ac:dyDescent="0.2">
      <c r="A44" s="2">
        <v>12</v>
      </c>
      <c r="B44" s="4">
        <v>2.5399999999999999E-2</v>
      </c>
    </row>
    <row r="45" spans="1:2" x14ac:dyDescent="0.2">
      <c r="A45" s="2">
        <v>15</v>
      </c>
      <c r="B45" s="4">
        <v>2.5999999999999999E-2</v>
      </c>
    </row>
    <row r="46" spans="1:2" x14ac:dyDescent="0.2">
      <c r="A46" s="2">
        <v>20</v>
      </c>
      <c r="B46" s="4">
        <v>2.6499999999999999E-2</v>
      </c>
    </row>
    <row r="47" spans="1:2" x14ac:dyDescent="0.2">
      <c r="A47" s="2">
        <v>25</v>
      </c>
      <c r="B47" s="4">
        <v>2.6599999999999999E-2</v>
      </c>
    </row>
    <row r="48" spans="1:2" x14ac:dyDescent="0.2">
      <c r="A48" s="2">
        <v>30</v>
      </c>
      <c r="B48" s="4">
        <v>2.6700000000000002E-2</v>
      </c>
    </row>
    <row r="49" spans="1:2" x14ac:dyDescent="0.2">
      <c r="A49" s="2">
        <v>40</v>
      </c>
      <c r="B49" s="4">
        <v>2.6499999999999999E-2</v>
      </c>
    </row>
    <row r="50" spans="1:2" x14ac:dyDescent="0.2">
      <c r="A50" s="2">
        <v>50</v>
      </c>
      <c r="B50" s="4">
        <v>2.6100000000000002E-2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07BC-89D0-4A03-9E46-FD9F363AEA82}">
  <dimension ref="A1:B12"/>
  <sheetViews>
    <sheetView zoomScale="164" workbookViewId="0">
      <selection activeCell="C13" sqref="C13"/>
    </sheetView>
  </sheetViews>
  <sheetFormatPr baseColWidth="10" defaultColWidth="8.83203125" defaultRowHeight="15" x14ac:dyDescent="0.2"/>
  <sheetData>
    <row r="1" spans="1:2" x14ac:dyDescent="0.2">
      <c r="A1" s="1" t="s">
        <v>84</v>
      </c>
      <c r="B1" s="1" t="s">
        <v>86</v>
      </c>
    </row>
    <row r="2" spans="1:2" x14ac:dyDescent="0.2">
      <c r="A2" s="5">
        <v>8.3333333333333301E-2</v>
      </c>
      <c r="B2" s="4">
        <v>2.3900000000000001E-2</v>
      </c>
    </row>
    <row r="3" spans="1:2" x14ac:dyDescent="0.2">
      <c r="A3" s="2">
        <v>0.16666666666666699</v>
      </c>
      <c r="B3" s="4">
        <v>2.4299999999999999E-2</v>
      </c>
    </row>
    <row r="4" spans="1:2" x14ac:dyDescent="0.2">
      <c r="A4" s="2">
        <v>0.25</v>
      </c>
      <c r="B4" s="4">
        <v>2.4199999999999999E-2</v>
      </c>
    </row>
    <row r="5" spans="1:2" x14ac:dyDescent="0.2">
      <c r="A5" s="2">
        <v>0.5</v>
      </c>
      <c r="B5" s="4">
        <v>2.4500000000000001E-2</v>
      </c>
    </row>
    <row r="6" spans="1:2" x14ac:dyDescent="0.2">
      <c r="A6" s="2">
        <v>1</v>
      </c>
      <c r="B6" s="4">
        <v>2.4199999999999999E-2</v>
      </c>
    </row>
    <row r="7" spans="1:2" x14ac:dyDescent="0.2">
      <c r="A7" s="2">
        <v>2</v>
      </c>
      <c r="B7" s="4">
        <v>2.3400000000000001E-2</v>
      </c>
    </row>
    <row r="8" spans="1:2" x14ac:dyDescent="0.2">
      <c r="A8" s="2">
        <v>3</v>
      </c>
      <c r="B8" s="4">
        <v>2.3E-2</v>
      </c>
    </row>
    <row r="9" spans="1:2" x14ac:dyDescent="0.2">
      <c r="A9" s="2">
        <v>5</v>
      </c>
      <c r="B9" s="4">
        <v>2.3099999999999999E-2</v>
      </c>
    </row>
    <row r="10" spans="1:2" x14ac:dyDescent="0.2">
      <c r="A10" s="2">
        <v>7</v>
      </c>
      <c r="B10" s="4">
        <v>2.4E-2</v>
      </c>
    </row>
    <row r="11" spans="1:2" x14ac:dyDescent="0.2">
      <c r="A11" s="2">
        <v>10</v>
      </c>
      <c r="B11" s="4">
        <v>2.5000000000000001E-2</v>
      </c>
    </row>
    <row r="12" spans="1:2" x14ac:dyDescent="0.2">
      <c r="A12" s="2">
        <v>30</v>
      </c>
      <c r="B12" s="4">
        <v>2.9100000000000001E-2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CDX_IG_Infos</vt:lpstr>
      <vt:lpstr>CDX_IG_Prices</vt:lpstr>
      <vt:lpstr>Libor 3M Curve</vt:lpstr>
      <vt:lpstr>US Yield Curve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2024-05-31T08:10:04Z</dcterms:created>
  <dcterms:modified xsi:type="dcterms:W3CDTF">2026-04-03T20:56:46Z</dcterms:modified>
  <cp:category/>
  <cp:contentStatus/>
</cp:coreProperties>
</file>